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yk\PycharmProjects\Tomba\spec sheets\"/>
    </mc:Choice>
  </mc:AlternateContent>
  <xr:revisionPtr revIDLastSave="0" documentId="13_ncr:1_{33B4353B-8578-41C2-B21B-55C73270D3C4}" xr6:coauthVersionLast="47" xr6:coauthVersionMax="47" xr10:uidLastSave="{00000000-0000-0000-0000-000000000000}"/>
  <bookViews>
    <workbookView xWindow="7035" yWindow="0" windowWidth="28800" windowHeight="20985" xr2:uid="{FA3A0465-2D19-44AE-B326-C675F7DBE5C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1" l="1"/>
  <c r="A36" i="1"/>
  <c r="A21" i="1"/>
  <c r="A19" i="1"/>
  <c r="A18" i="1"/>
  <c r="A79" i="1"/>
  <c r="A74" i="1"/>
  <c r="A57" i="1"/>
  <c r="A3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20" i="1"/>
  <c r="A22" i="1"/>
  <c r="A23" i="1"/>
  <c r="A24" i="1"/>
  <c r="A25" i="1"/>
  <c r="A26" i="1"/>
  <c r="A27" i="1"/>
  <c r="A28" i="1"/>
  <c r="A29" i="1"/>
  <c r="A30" i="1"/>
  <c r="A31" i="1"/>
  <c r="A33" i="1"/>
  <c r="A34" i="1"/>
  <c r="A35" i="1"/>
  <c r="A37" i="1"/>
  <c r="A38" i="1"/>
  <c r="A39" i="1"/>
  <c r="A40" i="1"/>
  <c r="A41" i="1"/>
  <c r="A42" i="1"/>
  <c r="A43" i="1"/>
  <c r="A44" i="1"/>
  <c r="A46" i="1"/>
  <c r="A47" i="1"/>
  <c r="A48" i="1"/>
  <c r="A49" i="1"/>
  <c r="A50" i="1"/>
  <c r="A51" i="1"/>
  <c r="A52" i="1"/>
  <c r="A53" i="1"/>
  <c r="A54" i="1"/>
  <c r="A55" i="1"/>
  <c r="A56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5" i="1"/>
  <c r="A76" i="1"/>
  <c r="A77" i="1"/>
  <c r="A78" i="1"/>
  <c r="A80" i="1"/>
  <c r="A81" i="1"/>
  <c r="A82" i="1"/>
  <c r="A83" i="1"/>
  <c r="C82" i="1"/>
  <c r="C81" i="1"/>
  <c r="C80" i="1"/>
  <c r="C72" i="1"/>
  <c r="C69" i="1"/>
  <c r="C66" i="1"/>
  <c r="C65" i="1"/>
  <c r="C63" i="1"/>
  <c r="C60" i="1"/>
  <c r="C59" i="1"/>
  <c r="C58" i="1"/>
  <c r="C57" i="1"/>
  <c r="C54" i="1"/>
  <c r="C45" i="1"/>
  <c r="C48" i="1"/>
  <c r="C15" i="1"/>
  <c r="C24" i="1"/>
  <c r="C3" i="1"/>
  <c r="C6" i="1"/>
  <c r="C7" i="1"/>
  <c r="C8" i="1"/>
</calcChain>
</file>

<file path=xl/sharedStrings.xml><?xml version="1.0" encoding="utf-8"?>
<sst xmlns="http://schemas.openxmlformats.org/spreadsheetml/2006/main" count="194" uniqueCount="131">
  <si>
    <t>Tomba animation spec sheet</t>
  </si>
  <si>
    <t>00 0F EC 00 00 25 F4 E0 40 FA D0 D2 00 5D AA F4 F2 78 FE 80 DC 00 20 64 0A 8F CF 1C FF 8B FC 90 60 D9 30 2C F8 DF EA FE 9F DA 09 20 B2 07 2F 44 E3 A0 12 00 2F BC 00 00 00 00 0F 81 02 B1 04 02 80 0B 09 A0 2C 03 C1 1F FF A0 3C FE 90 00 00 01 65</t>
  </si>
  <si>
    <t>po wklejeniu powyższego 81 bajtowego ciągu w 19 linijkę animacji, jest ona w zakresie "idle" Tomby, więc łatwo sprawdzać co się zmienia.</t>
  </si>
  <si>
    <t>everything moves in z axis</t>
  </si>
  <si>
    <t xml:space="preserve">FA </t>
  </si>
  <si>
    <t xml:space="preserve">F4 </t>
  </si>
  <si>
    <t>EC</t>
  </si>
  <si>
    <t>0F</t>
  </si>
  <si>
    <t xml:space="preserve">D0 </t>
  </si>
  <si>
    <t xml:space="preserve">D2 </t>
  </si>
  <si>
    <t xml:space="preserve">5D </t>
  </si>
  <si>
    <t xml:space="preserve">AA </t>
  </si>
  <si>
    <t xml:space="preserve">F2 </t>
  </si>
  <si>
    <t xml:space="preserve">FE </t>
  </si>
  <si>
    <t xml:space="preserve">DC </t>
  </si>
  <si>
    <t xml:space="preserve">0A </t>
  </si>
  <si>
    <t xml:space="preserve">8F </t>
  </si>
  <si>
    <t xml:space="preserve">CF </t>
  </si>
  <si>
    <t xml:space="preserve">1C </t>
  </si>
  <si>
    <t xml:space="preserve">FF </t>
  </si>
  <si>
    <t xml:space="preserve">8B </t>
  </si>
  <si>
    <t xml:space="preserve">FC </t>
  </si>
  <si>
    <t xml:space="preserve">D9 </t>
  </si>
  <si>
    <t xml:space="preserve">2C </t>
  </si>
  <si>
    <t xml:space="preserve">2F </t>
  </si>
  <si>
    <t xml:space="preserve">BC </t>
  </si>
  <si>
    <t xml:space="preserve">E3 </t>
  </si>
  <si>
    <t xml:space="preserve">A0 </t>
  </si>
  <si>
    <t xml:space="preserve">B2 </t>
  </si>
  <si>
    <t xml:space="preserve">9F </t>
  </si>
  <si>
    <t xml:space="preserve">DA </t>
  </si>
  <si>
    <t xml:space="preserve">EA </t>
  </si>
  <si>
    <t xml:space="preserve">F8 </t>
  </si>
  <si>
    <t xml:space="preserve">DF </t>
  </si>
  <si>
    <t>E0</t>
  </si>
  <si>
    <t xml:space="preserve">3C </t>
  </si>
  <si>
    <t xml:space="preserve">C1 </t>
  </si>
  <si>
    <t xml:space="preserve">1F </t>
  </si>
  <si>
    <t xml:space="preserve">2C  </t>
  </si>
  <si>
    <t>A0</t>
  </si>
  <si>
    <t xml:space="preserve">0B </t>
  </si>
  <si>
    <t xml:space="preserve">B1 </t>
  </si>
  <si>
    <t xml:space="preserve">0F </t>
  </si>
  <si>
    <t>B - dół tułowia, pod klatką piersiową</t>
  </si>
  <si>
    <t>A - dół głowy</t>
  </si>
  <si>
    <t>A Y rot</t>
  </si>
  <si>
    <t>B Z rot</t>
  </si>
  <si>
    <t>B Y rot</t>
  </si>
  <si>
    <t>B X rot</t>
  </si>
  <si>
    <t>everything moves in X axis</t>
  </si>
  <si>
    <t>everything moves in Y axis</t>
  </si>
  <si>
    <t>A Z rot</t>
  </si>
  <si>
    <t>A X rot</t>
  </si>
  <si>
    <t>C X rot</t>
  </si>
  <si>
    <t>L1 - Lewe ramię</t>
  </si>
  <si>
    <t>increase raises arm up</t>
  </si>
  <si>
    <t xml:space="preserve">L1 Y rot </t>
  </si>
  <si>
    <t>L1 X rot</t>
  </si>
  <si>
    <t>inc raises forward</t>
  </si>
  <si>
    <t>L1 Z rot</t>
  </si>
  <si>
    <t>L2 - Lewe przedramię</t>
  </si>
  <si>
    <t>L2 X rot</t>
  </si>
  <si>
    <t>L2 Z rot</t>
  </si>
  <si>
    <t>L3 Y rot</t>
  </si>
  <si>
    <t>L3 - Lewa dłoń</t>
  </si>
  <si>
    <t>L3 X rot</t>
  </si>
  <si>
    <t>L3 Z rot</t>
  </si>
  <si>
    <t>R1 Y rot</t>
  </si>
  <si>
    <t>R1 X rot</t>
  </si>
  <si>
    <t>R1 Z rot</t>
  </si>
  <si>
    <t>R2 X rot</t>
  </si>
  <si>
    <t>R2 Y rot</t>
  </si>
  <si>
    <t>R2 Z rot</t>
  </si>
  <si>
    <t>R3 Y rot</t>
  </si>
  <si>
    <t>R3 Z rot</t>
  </si>
  <si>
    <t>R3 X rot</t>
  </si>
  <si>
    <t>R3 - Prawa dłoń</t>
  </si>
  <si>
    <t>R2 - Prawe przedramię</t>
  </si>
  <si>
    <t>R1 - Prawe ramię</t>
  </si>
  <si>
    <t>C - górny punkt bioder</t>
  </si>
  <si>
    <t>C Y rot</t>
  </si>
  <si>
    <t>C Z rot</t>
  </si>
  <si>
    <t>inc rotates backward</t>
  </si>
  <si>
    <t>inc rotates right</t>
  </si>
  <si>
    <t>inc rotates to left</t>
  </si>
  <si>
    <t>LB1 Y rot</t>
  </si>
  <si>
    <t>LB1 Z rot</t>
  </si>
  <si>
    <t>inc rotates to inside</t>
  </si>
  <si>
    <t>LB1 X rot</t>
  </si>
  <si>
    <t>inc rotates back</t>
  </si>
  <si>
    <t>LB2 Y rot</t>
  </si>
  <si>
    <t>LB2 Z rot</t>
  </si>
  <si>
    <t>LB2 X rot</t>
  </si>
  <si>
    <t>LB3 Y rot</t>
  </si>
  <si>
    <t>LB3 Z rot</t>
  </si>
  <si>
    <t>LB3 X rot</t>
  </si>
  <si>
    <t>RB1 Y rot</t>
  </si>
  <si>
    <t>RB1 Z rot</t>
  </si>
  <si>
    <t xml:space="preserve">RB1 X rot </t>
  </si>
  <si>
    <t>RB2 Y rot</t>
  </si>
  <si>
    <t>inc rotates to outside (right)</t>
  </si>
  <si>
    <t>RB2 Z rot</t>
  </si>
  <si>
    <t>RB2 X rot</t>
  </si>
  <si>
    <t>RB3 Y rot</t>
  </si>
  <si>
    <t>RB3 Z rot</t>
  </si>
  <si>
    <t>RB3 X rot</t>
  </si>
  <si>
    <t>inc rotates clockwise</t>
  </si>
  <si>
    <t>P1 Y rot</t>
  </si>
  <si>
    <t>P1 Z rot</t>
  </si>
  <si>
    <t>P1 X rot</t>
  </si>
  <si>
    <t>P1 - ponytail górna krawędź</t>
  </si>
  <si>
    <t>P2 - ponytail dolny górna krawędź</t>
  </si>
  <si>
    <t>P2 Y rot</t>
  </si>
  <si>
    <t>P2 Z rot</t>
  </si>
  <si>
    <t>P2 X rot</t>
  </si>
  <si>
    <t>increase moves down</t>
  </si>
  <si>
    <t>increase moves forward</t>
  </si>
  <si>
    <t>increase moves left</t>
  </si>
  <si>
    <t>inc rot right</t>
  </si>
  <si>
    <t>inc rot to right</t>
  </si>
  <si>
    <t>inc rot forwards</t>
  </si>
  <si>
    <t>inc rot clockwise</t>
  </si>
  <si>
    <t>inc raises up</t>
  </si>
  <si>
    <t>L2 Y rot</t>
  </si>
  <si>
    <t>inc rot forward</t>
  </si>
  <si>
    <t>inc rot down</t>
  </si>
  <si>
    <t>inc rot back</t>
  </si>
  <si>
    <t>inc rotates right clockwise</t>
  </si>
  <si>
    <t>inc rot to left</t>
  </si>
  <si>
    <t>inc rotates to right</t>
  </si>
  <si>
    <t>inc rotates to to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</si>
</sst>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1"/>
      <color theme="1"/>
      <name val="Cascadia Mono Light"/>
      <family val="3"/>
      <charset val="238"/>
    </font>
    <font>
      <b/>
      <sz val="11"/>
      <color theme="1"/>
      <name val="Cascadia Mono Light"/>
      <family val="3"/>
      <charset val="238"/>
    </font>
    <font>
      <i/>
      <sz val="11"/>
      <color theme="1"/>
      <name val="Cascadia Mono Light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2</xdr:row>
      <xdr:rowOff>38100</xdr:rowOff>
    </xdr:from>
    <xdr:to>
      <xdr:col>15</xdr:col>
      <xdr:colOff>101812</xdr:colOff>
      <xdr:row>27</xdr:row>
      <xdr:rowOff>123825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24473B77-BA70-02B0-2EF6-DDC9273C0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0" y="457200"/>
          <a:ext cx="4330912" cy="5324475"/>
        </a:xfrm>
        <a:prstGeom prst="rect">
          <a:avLst/>
        </a:prstGeom>
      </xdr:spPr>
    </xdr:pic>
    <xdr:clientData/>
  </xdr:twoCellAnchor>
  <xdr:twoCellAnchor editAs="oneCell">
    <xdr:from>
      <xdr:col>15</xdr:col>
      <xdr:colOff>274320</xdr:colOff>
      <xdr:row>4</xdr:row>
      <xdr:rowOff>66674</xdr:rowOff>
    </xdr:from>
    <xdr:to>
      <xdr:col>22</xdr:col>
      <xdr:colOff>533400</xdr:colOff>
      <xdr:row>17</xdr:row>
      <xdr:rowOff>171449</xdr:rowOff>
    </xdr:to>
    <xdr:pic>
      <xdr:nvPicPr>
        <xdr:cNvPr id="3" name="Obraz 2" descr="Coordinate Systems - Verge3D Wiki">
          <a:extLst>
            <a:ext uri="{FF2B5EF4-FFF2-40B4-BE49-F238E27FC236}">
              <a16:creationId xmlns:a16="http://schemas.microsoft.com/office/drawing/2014/main" id="{839516B3-2B18-DAC9-D596-06FC11268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8920" y="904874"/>
          <a:ext cx="4526280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161925</xdr:colOff>
      <xdr:row>12</xdr:row>
      <xdr:rowOff>28575</xdr:rowOff>
    </xdr:from>
    <xdr:ext cx="266291" cy="264560"/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03C02B56-21FE-D66A-0921-468D9D1EFB83}"/>
            </a:ext>
          </a:extLst>
        </xdr:cNvPr>
        <xdr:cNvSpPr txBox="1"/>
      </xdr:nvSpPr>
      <xdr:spPr>
        <a:xfrm>
          <a:off x="7858125" y="254317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11</xdr:col>
      <xdr:colOff>104775</xdr:colOff>
      <xdr:row>16</xdr:row>
      <xdr:rowOff>9525</xdr:rowOff>
    </xdr:from>
    <xdr:ext cx="266291" cy="264560"/>
    <xdr:sp macro="" textlink="">
      <xdr:nvSpPr>
        <xdr:cNvPr id="6" name="pole tekstowe 5">
          <a:extLst>
            <a:ext uri="{FF2B5EF4-FFF2-40B4-BE49-F238E27FC236}">
              <a16:creationId xmlns:a16="http://schemas.microsoft.com/office/drawing/2014/main" id="{04983A57-2761-4E14-B5A9-F6D7945BA7C3}"/>
            </a:ext>
          </a:extLst>
        </xdr:cNvPr>
        <xdr:cNvSpPr txBox="1"/>
      </xdr:nvSpPr>
      <xdr:spPr>
        <a:xfrm>
          <a:off x="7800975" y="336232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10</xdr:col>
      <xdr:colOff>381000</xdr:colOff>
      <xdr:row>12</xdr:row>
      <xdr:rowOff>123825</xdr:rowOff>
    </xdr:from>
    <xdr:ext cx="315471" cy="264560"/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CB47B904-227C-49D8-A9C8-2E7EE3394B25}"/>
            </a:ext>
          </a:extLst>
        </xdr:cNvPr>
        <xdr:cNvSpPr txBox="1"/>
      </xdr:nvSpPr>
      <xdr:spPr>
        <a:xfrm>
          <a:off x="7467600" y="2638425"/>
          <a:ext cx="3154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L1</a:t>
          </a:r>
        </a:p>
      </xdr:txBody>
    </xdr:sp>
    <xdr:clientData/>
  </xdr:oneCellAnchor>
  <xdr:twoCellAnchor editAs="oneCell">
    <xdr:from>
      <xdr:col>13</xdr:col>
      <xdr:colOff>305858</xdr:colOff>
      <xdr:row>20</xdr:row>
      <xdr:rowOff>95250</xdr:rowOff>
    </xdr:from>
    <xdr:to>
      <xdr:col>22</xdr:col>
      <xdr:colOff>542924</xdr:colOff>
      <xdr:row>35</xdr:row>
      <xdr:rowOff>171450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2B0D6119-E9BD-7984-72B2-F68EA754A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1258" y="4286250"/>
          <a:ext cx="5723466" cy="321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0</xdr:colOff>
      <xdr:row>25</xdr:row>
      <xdr:rowOff>123825</xdr:rowOff>
    </xdr:from>
    <xdr:ext cx="266291" cy="264560"/>
    <xdr:sp macro="" textlink="">
      <xdr:nvSpPr>
        <xdr:cNvPr id="9" name="pole tekstowe 8">
          <a:extLst>
            <a:ext uri="{FF2B5EF4-FFF2-40B4-BE49-F238E27FC236}">
              <a16:creationId xmlns:a16="http://schemas.microsoft.com/office/drawing/2014/main" id="{A4F59DAD-C84A-4BA2-AADF-17C42EF0F079}"/>
            </a:ext>
          </a:extLst>
        </xdr:cNvPr>
        <xdr:cNvSpPr txBox="1"/>
      </xdr:nvSpPr>
      <xdr:spPr>
        <a:xfrm>
          <a:off x="11963400" y="5362575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18</xdr:col>
      <xdr:colOff>9525</xdr:colOff>
      <xdr:row>28</xdr:row>
      <xdr:rowOff>19050</xdr:rowOff>
    </xdr:from>
    <xdr:ext cx="266291" cy="264560"/>
    <xdr:sp macro="" textlink="">
      <xdr:nvSpPr>
        <xdr:cNvPr id="10" name="pole tekstowe 9">
          <a:extLst>
            <a:ext uri="{FF2B5EF4-FFF2-40B4-BE49-F238E27FC236}">
              <a16:creationId xmlns:a16="http://schemas.microsoft.com/office/drawing/2014/main" id="{FEEC5708-610D-4CEC-802B-F8A45EEA6947}"/>
            </a:ext>
          </a:extLst>
        </xdr:cNvPr>
        <xdr:cNvSpPr txBox="1"/>
      </xdr:nvSpPr>
      <xdr:spPr>
        <a:xfrm>
          <a:off x="11972925" y="5886450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18</xdr:col>
      <xdr:colOff>295275</xdr:colOff>
      <xdr:row>26</xdr:row>
      <xdr:rowOff>133350</xdr:rowOff>
    </xdr:from>
    <xdr:ext cx="315471" cy="264560"/>
    <xdr:sp macro="" textlink="">
      <xdr:nvSpPr>
        <xdr:cNvPr id="11" name="pole tekstowe 10">
          <a:extLst>
            <a:ext uri="{FF2B5EF4-FFF2-40B4-BE49-F238E27FC236}">
              <a16:creationId xmlns:a16="http://schemas.microsoft.com/office/drawing/2014/main" id="{3738F037-6A74-455A-A70B-5A8F1075F587}"/>
            </a:ext>
          </a:extLst>
        </xdr:cNvPr>
        <xdr:cNvSpPr txBox="1"/>
      </xdr:nvSpPr>
      <xdr:spPr>
        <a:xfrm>
          <a:off x="12258675" y="5581650"/>
          <a:ext cx="3154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L1</a:t>
          </a:r>
        </a:p>
      </xdr:txBody>
    </xdr:sp>
    <xdr:clientData/>
  </xdr:oneCellAnchor>
  <xdr:twoCellAnchor>
    <xdr:from>
      <xdr:col>10</xdr:col>
      <xdr:colOff>28575</xdr:colOff>
      <xdr:row>17</xdr:row>
      <xdr:rowOff>9525</xdr:rowOff>
    </xdr:from>
    <xdr:to>
      <xdr:col>10</xdr:col>
      <xdr:colOff>266700</xdr:colOff>
      <xdr:row>19</xdr:row>
      <xdr:rowOff>76200</xdr:rowOff>
    </xdr:to>
    <xdr:sp macro="" textlink="">
      <xdr:nvSpPr>
        <xdr:cNvPr id="12" name="Strzałka: zakrzywiona w dół 11">
          <a:extLst>
            <a:ext uri="{FF2B5EF4-FFF2-40B4-BE49-F238E27FC236}">
              <a16:creationId xmlns:a16="http://schemas.microsoft.com/office/drawing/2014/main" id="{6161898A-BCD1-398E-2B58-C3AE05A00CD7}"/>
            </a:ext>
          </a:extLst>
        </xdr:cNvPr>
        <xdr:cNvSpPr/>
      </xdr:nvSpPr>
      <xdr:spPr>
        <a:xfrm rot="5400000">
          <a:off x="6991350" y="3695700"/>
          <a:ext cx="485775" cy="238125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>
            <a:solidFill>
              <a:schemeClr val="tx1"/>
            </a:solidFill>
          </a:endParaRPr>
        </a:p>
      </xdr:txBody>
    </xdr:sp>
    <xdr:clientData/>
  </xdr:twoCellAnchor>
  <xdr:oneCellAnchor>
    <xdr:from>
      <xdr:col>19</xdr:col>
      <xdr:colOff>38100</xdr:colOff>
      <xdr:row>26</xdr:row>
      <xdr:rowOff>133350</xdr:rowOff>
    </xdr:from>
    <xdr:ext cx="315471" cy="264560"/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F633BABA-B9E1-4CE5-A925-4E7C2FD63D08}"/>
            </a:ext>
          </a:extLst>
        </xdr:cNvPr>
        <xdr:cNvSpPr txBox="1"/>
      </xdr:nvSpPr>
      <xdr:spPr>
        <a:xfrm>
          <a:off x="12611100" y="5581650"/>
          <a:ext cx="3154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L2</a:t>
          </a:r>
        </a:p>
      </xdr:txBody>
    </xdr:sp>
    <xdr:clientData/>
  </xdr:oneCellAnchor>
  <xdr:oneCellAnchor>
    <xdr:from>
      <xdr:col>19</xdr:col>
      <xdr:colOff>361950</xdr:colOff>
      <xdr:row>26</xdr:row>
      <xdr:rowOff>142875</xdr:rowOff>
    </xdr:from>
    <xdr:ext cx="315471" cy="264560"/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BF141009-D82D-4C7A-827D-56853D34D414}"/>
            </a:ext>
          </a:extLst>
        </xdr:cNvPr>
        <xdr:cNvSpPr txBox="1"/>
      </xdr:nvSpPr>
      <xdr:spPr>
        <a:xfrm>
          <a:off x="12934950" y="5591175"/>
          <a:ext cx="3154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L3</a:t>
          </a:r>
        </a:p>
      </xdr:txBody>
    </xdr:sp>
    <xdr:clientData/>
  </xdr:oneCellAnchor>
  <xdr:twoCellAnchor>
    <xdr:from>
      <xdr:col>12</xdr:col>
      <xdr:colOff>47625</xdr:colOff>
      <xdr:row>13</xdr:row>
      <xdr:rowOff>38100</xdr:rowOff>
    </xdr:from>
    <xdr:to>
      <xdr:col>12</xdr:col>
      <xdr:colOff>285750</xdr:colOff>
      <xdr:row>15</xdr:row>
      <xdr:rowOff>104775</xdr:rowOff>
    </xdr:to>
    <xdr:sp macro="" textlink="">
      <xdr:nvSpPr>
        <xdr:cNvPr id="15" name="Strzałka: zakrzywiona w dół 14">
          <a:extLst>
            <a:ext uri="{FF2B5EF4-FFF2-40B4-BE49-F238E27FC236}">
              <a16:creationId xmlns:a16="http://schemas.microsoft.com/office/drawing/2014/main" id="{4045C3E8-0E7F-43D4-BBCB-E447E015C9DF}"/>
            </a:ext>
          </a:extLst>
        </xdr:cNvPr>
        <xdr:cNvSpPr/>
      </xdr:nvSpPr>
      <xdr:spPr>
        <a:xfrm rot="5400000">
          <a:off x="8229600" y="2886075"/>
          <a:ext cx="485775" cy="238125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>
            <a:solidFill>
              <a:schemeClr val="tx1"/>
            </a:solidFill>
          </a:endParaRPr>
        </a:p>
      </xdr:txBody>
    </xdr:sp>
    <xdr:clientData/>
  </xdr:twoCellAnchor>
  <xdr:oneCellAnchor>
    <xdr:from>
      <xdr:col>17</xdr:col>
      <xdr:colOff>276225</xdr:colOff>
      <xdr:row>26</xdr:row>
      <xdr:rowOff>114300</xdr:rowOff>
    </xdr:from>
    <xdr:ext cx="332783" cy="264560"/>
    <xdr:sp macro="" textlink="">
      <xdr:nvSpPr>
        <xdr:cNvPr id="16" name="pole tekstowe 15">
          <a:extLst>
            <a:ext uri="{FF2B5EF4-FFF2-40B4-BE49-F238E27FC236}">
              <a16:creationId xmlns:a16="http://schemas.microsoft.com/office/drawing/2014/main" id="{4B169E75-1DD9-4925-9B95-310542E076E6}"/>
            </a:ext>
          </a:extLst>
        </xdr:cNvPr>
        <xdr:cNvSpPr txBox="1"/>
      </xdr:nvSpPr>
      <xdr:spPr>
        <a:xfrm>
          <a:off x="11630025" y="5562600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R1</a:t>
          </a:r>
        </a:p>
      </xdr:txBody>
    </xdr:sp>
    <xdr:clientData/>
  </xdr:oneCellAnchor>
  <xdr:oneCellAnchor>
    <xdr:from>
      <xdr:col>16</xdr:col>
      <xdr:colOff>552450</xdr:colOff>
      <xdr:row>26</xdr:row>
      <xdr:rowOff>123825</xdr:rowOff>
    </xdr:from>
    <xdr:ext cx="332783" cy="264560"/>
    <xdr:sp macro="" textlink="">
      <xdr:nvSpPr>
        <xdr:cNvPr id="17" name="pole tekstowe 16">
          <a:extLst>
            <a:ext uri="{FF2B5EF4-FFF2-40B4-BE49-F238E27FC236}">
              <a16:creationId xmlns:a16="http://schemas.microsoft.com/office/drawing/2014/main" id="{806A3D3B-9071-4E62-A520-C9726F149683}"/>
            </a:ext>
          </a:extLst>
        </xdr:cNvPr>
        <xdr:cNvSpPr txBox="1"/>
      </xdr:nvSpPr>
      <xdr:spPr>
        <a:xfrm>
          <a:off x="11296650" y="5572125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R2</a:t>
          </a:r>
        </a:p>
      </xdr:txBody>
    </xdr:sp>
    <xdr:clientData/>
  </xdr:oneCellAnchor>
  <xdr:oneCellAnchor>
    <xdr:from>
      <xdr:col>16</xdr:col>
      <xdr:colOff>123825</xdr:colOff>
      <xdr:row>26</xdr:row>
      <xdr:rowOff>123825</xdr:rowOff>
    </xdr:from>
    <xdr:ext cx="332783" cy="264560"/>
    <xdr:sp macro="" textlink="">
      <xdr:nvSpPr>
        <xdr:cNvPr id="18" name="pole tekstowe 17">
          <a:extLst>
            <a:ext uri="{FF2B5EF4-FFF2-40B4-BE49-F238E27FC236}">
              <a16:creationId xmlns:a16="http://schemas.microsoft.com/office/drawing/2014/main" id="{2131C8F8-F006-496E-9E9A-AB89B4D967BF}"/>
            </a:ext>
          </a:extLst>
        </xdr:cNvPr>
        <xdr:cNvSpPr txBox="1"/>
      </xdr:nvSpPr>
      <xdr:spPr>
        <a:xfrm>
          <a:off x="10868025" y="5572125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R3</a:t>
          </a:r>
        </a:p>
      </xdr:txBody>
    </xdr:sp>
    <xdr:clientData/>
  </xdr:oneCellAnchor>
  <xdr:oneCellAnchor>
    <xdr:from>
      <xdr:col>11</xdr:col>
      <xdr:colOff>409575</xdr:colOff>
      <xdr:row>13</xdr:row>
      <xdr:rowOff>180975</xdr:rowOff>
    </xdr:from>
    <xdr:ext cx="332783" cy="264560"/>
    <xdr:sp macro="" textlink="">
      <xdr:nvSpPr>
        <xdr:cNvPr id="19" name="pole tekstowe 18">
          <a:extLst>
            <a:ext uri="{FF2B5EF4-FFF2-40B4-BE49-F238E27FC236}">
              <a16:creationId xmlns:a16="http://schemas.microsoft.com/office/drawing/2014/main" id="{877A38BB-A6C2-404C-A70A-6A0E03280C8E}"/>
            </a:ext>
          </a:extLst>
        </xdr:cNvPr>
        <xdr:cNvSpPr txBox="1"/>
      </xdr:nvSpPr>
      <xdr:spPr>
        <a:xfrm>
          <a:off x="8105775" y="2905125"/>
          <a:ext cx="33278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R1</a:t>
          </a:r>
        </a:p>
      </xdr:txBody>
    </xdr:sp>
    <xdr:clientData/>
  </xdr:oneCellAnchor>
  <xdr:oneCellAnchor>
    <xdr:from>
      <xdr:col>18</xdr:col>
      <xdr:colOff>0</xdr:colOff>
      <xdr:row>28</xdr:row>
      <xdr:rowOff>133350</xdr:rowOff>
    </xdr:from>
    <xdr:ext cx="266291" cy="264560"/>
    <xdr:sp macro="" textlink="">
      <xdr:nvSpPr>
        <xdr:cNvPr id="20" name="pole tekstowe 19">
          <a:extLst>
            <a:ext uri="{FF2B5EF4-FFF2-40B4-BE49-F238E27FC236}">
              <a16:creationId xmlns:a16="http://schemas.microsoft.com/office/drawing/2014/main" id="{62F43684-0E1B-432A-932E-BCD3BBAAB9BD}"/>
            </a:ext>
          </a:extLst>
        </xdr:cNvPr>
        <xdr:cNvSpPr txBox="1"/>
      </xdr:nvSpPr>
      <xdr:spPr>
        <a:xfrm>
          <a:off x="11963400" y="6000750"/>
          <a:ext cx="2662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18</xdr:col>
      <xdr:colOff>104775</xdr:colOff>
      <xdr:row>29</xdr:row>
      <xdr:rowOff>123825</xdr:rowOff>
    </xdr:from>
    <xdr:ext cx="392223" cy="264560"/>
    <xdr:sp macro="" textlink="">
      <xdr:nvSpPr>
        <xdr:cNvPr id="22" name="pole tekstowe 21">
          <a:extLst>
            <a:ext uri="{FF2B5EF4-FFF2-40B4-BE49-F238E27FC236}">
              <a16:creationId xmlns:a16="http://schemas.microsoft.com/office/drawing/2014/main" id="{FA8735F6-F60D-4A71-8B0A-9D10BF7392ED}"/>
            </a:ext>
          </a:extLst>
        </xdr:cNvPr>
        <xdr:cNvSpPr txBox="1"/>
      </xdr:nvSpPr>
      <xdr:spPr>
        <a:xfrm>
          <a:off x="12068175" y="6200775"/>
          <a:ext cx="392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LB1</a:t>
          </a:r>
        </a:p>
      </xdr:txBody>
    </xdr:sp>
    <xdr:clientData/>
  </xdr:oneCellAnchor>
  <xdr:oneCellAnchor>
    <xdr:from>
      <xdr:col>18</xdr:col>
      <xdr:colOff>152400</xdr:colOff>
      <xdr:row>30</xdr:row>
      <xdr:rowOff>190500</xdr:rowOff>
    </xdr:from>
    <xdr:ext cx="392223" cy="264560"/>
    <xdr:sp macro="" textlink="">
      <xdr:nvSpPr>
        <xdr:cNvPr id="23" name="pole tekstowe 22">
          <a:extLst>
            <a:ext uri="{FF2B5EF4-FFF2-40B4-BE49-F238E27FC236}">
              <a16:creationId xmlns:a16="http://schemas.microsoft.com/office/drawing/2014/main" id="{24F3C64C-9A52-4B8B-A597-9B4BE7FA3644}"/>
            </a:ext>
          </a:extLst>
        </xdr:cNvPr>
        <xdr:cNvSpPr txBox="1"/>
      </xdr:nvSpPr>
      <xdr:spPr>
        <a:xfrm>
          <a:off x="12115800" y="6477000"/>
          <a:ext cx="392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LB2</a:t>
          </a:r>
        </a:p>
      </xdr:txBody>
    </xdr:sp>
    <xdr:clientData/>
  </xdr:oneCellAnchor>
  <xdr:oneCellAnchor>
    <xdr:from>
      <xdr:col>18</xdr:col>
      <xdr:colOff>152400</xdr:colOff>
      <xdr:row>32</xdr:row>
      <xdr:rowOff>133350</xdr:rowOff>
    </xdr:from>
    <xdr:ext cx="392223" cy="264560"/>
    <xdr:sp macro="" textlink="">
      <xdr:nvSpPr>
        <xdr:cNvPr id="24" name="pole tekstowe 23">
          <a:extLst>
            <a:ext uri="{FF2B5EF4-FFF2-40B4-BE49-F238E27FC236}">
              <a16:creationId xmlns:a16="http://schemas.microsoft.com/office/drawing/2014/main" id="{4E82699E-7637-4BB5-A07E-C99DDA077925}"/>
            </a:ext>
          </a:extLst>
        </xdr:cNvPr>
        <xdr:cNvSpPr txBox="1"/>
      </xdr:nvSpPr>
      <xdr:spPr>
        <a:xfrm>
          <a:off x="12115800" y="6838950"/>
          <a:ext cx="392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LB3</a:t>
          </a:r>
        </a:p>
      </xdr:txBody>
    </xdr:sp>
    <xdr:clientData/>
  </xdr:oneCellAnchor>
  <xdr:oneCellAnchor>
    <xdr:from>
      <xdr:col>17</xdr:col>
      <xdr:colOff>342900</xdr:colOff>
      <xdr:row>29</xdr:row>
      <xdr:rowOff>133350</xdr:rowOff>
    </xdr:from>
    <xdr:ext cx="409536" cy="264560"/>
    <xdr:sp macro="" textlink="">
      <xdr:nvSpPr>
        <xdr:cNvPr id="25" name="pole tekstowe 24">
          <a:extLst>
            <a:ext uri="{FF2B5EF4-FFF2-40B4-BE49-F238E27FC236}">
              <a16:creationId xmlns:a16="http://schemas.microsoft.com/office/drawing/2014/main" id="{BEF586EC-7BE1-4675-808E-58375A1C3651}"/>
            </a:ext>
          </a:extLst>
        </xdr:cNvPr>
        <xdr:cNvSpPr txBox="1"/>
      </xdr:nvSpPr>
      <xdr:spPr>
        <a:xfrm>
          <a:off x="11696700" y="6210300"/>
          <a:ext cx="4095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RB1</a:t>
          </a:r>
        </a:p>
      </xdr:txBody>
    </xdr:sp>
    <xdr:clientData/>
  </xdr:oneCellAnchor>
  <xdr:oneCellAnchor>
    <xdr:from>
      <xdr:col>17</xdr:col>
      <xdr:colOff>323850</xdr:colOff>
      <xdr:row>31</xdr:row>
      <xdr:rowOff>9525</xdr:rowOff>
    </xdr:from>
    <xdr:ext cx="409536" cy="264560"/>
    <xdr:sp macro="" textlink="">
      <xdr:nvSpPr>
        <xdr:cNvPr id="26" name="pole tekstowe 25">
          <a:extLst>
            <a:ext uri="{FF2B5EF4-FFF2-40B4-BE49-F238E27FC236}">
              <a16:creationId xmlns:a16="http://schemas.microsoft.com/office/drawing/2014/main" id="{290DDEC2-76A2-45BE-86FC-F13AE61EE11D}"/>
            </a:ext>
          </a:extLst>
        </xdr:cNvPr>
        <xdr:cNvSpPr txBox="1"/>
      </xdr:nvSpPr>
      <xdr:spPr>
        <a:xfrm>
          <a:off x="11677650" y="6505575"/>
          <a:ext cx="4095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RB2</a:t>
          </a:r>
        </a:p>
      </xdr:txBody>
    </xdr:sp>
    <xdr:clientData/>
  </xdr:oneCellAnchor>
  <xdr:oneCellAnchor>
    <xdr:from>
      <xdr:col>17</xdr:col>
      <xdr:colOff>323850</xdr:colOff>
      <xdr:row>32</xdr:row>
      <xdr:rowOff>180975</xdr:rowOff>
    </xdr:from>
    <xdr:ext cx="409536" cy="264560"/>
    <xdr:sp macro="" textlink="">
      <xdr:nvSpPr>
        <xdr:cNvPr id="27" name="pole tekstowe 26">
          <a:extLst>
            <a:ext uri="{FF2B5EF4-FFF2-40B4-BE49-F238E27FC236}">
              <a16:creationId xmlns:a16="http://schemas.microsoft.com/office/drawing/2014/main" id="{CBEF2094-E1AE-4183-9487-07E8352A8B5F}"/>
            </a:ext>
          </a:extLst>
        </xdr:cNvPr>
        <xdr:cNvSpPr txBox="1"/>
      </xdr:nvSpPr>
      <xdr:spPr>
        <a:xfrm>
          <a:off x="11677650" y="6886575"/>
          <a:ext cx="40953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RB3</a:t>
          </a:r>
        </a:p>
      </xdr:txBody>
    </xdr:sp>
    <xdr:clientData/>
  </xdr:oneCellAnchor>
  <xdr:twoCellAnchor editAs="oneCell">
    <xdr:from>
      <xdr:col>14</xdr:col>
      <xdr:colOff>161925</xdr:colOff>
      <xdr:row>43</xdr:row>
      <xdr:rowOff>190500</xdr:rowOff>
    </xdr:from>
    <xdr:to>
      <xdr:col>21</xdr:col>
      <xdr:colOff>421005</xdr:colOff>
      <xdr:row>57</xdr:row>
      <xdr:rowOff>85725</xdr:rowOff>
    </xdr:to>
    <xdr:pic>
      <xdr:nvPicPr>
        <xdr:cNvPr id="28" name="Obraz 27" descr="Coordinate Systems - Verge3D Wiki">
          <a:extLst>
            <a:ext uri="{FF2B5EF4-FFF2-40B4-BE49-F238E27FC236}">
              <a16:creationId xmlns:a16="http://schemas.microsoft.com/office/drawing/2014/main" id="{D997B7E7-01DD-4D06-BE19-7EDBA494F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6925" y="9201150"/>
          <a:ext cx="4526280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171450</xdr:colOff>
      <xdr:row>12</xdr:row>
      <xdr:rowOff>142875</xdr:rowOff>
    </xdr:from>
    <xdr:ext cx="329064" cy="264560"/>
    <xdr:sp macro="" textlink="">
      <xdr:nvSpPr>
        <xdr:cNvPr id="29" name="pole tekstowe 28">
          <a:extLst>
            <a:ext uri="{FF2B5EF4-FFF2-40B4-BE49-F238E27FC236}">
              <a16:creationId xmlns:a16="http://schemas.microsoft.com/office/drawing/2014/main" id="{F7D4C322-A63C-4AB2-9489-E26E57036ACE}"/>
            </a:ext>
          </a:extLst>
        </xdr:cNvPr>
        <xdr:cNvSpPr txBox="1"/>
      </xdr:nvSpPr>
      <xdr:spPr>
        <a:xfrm>
          <a:off x="7258050" y="2657475"/>
          <a:ext cx="3290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P1</a:t>
          </a:r>
        </a:p>
      </xdr:txBody>
    </xdr:sp>
    <xdr:clientData/>
  </xdr:oneCellAnchor>
  <xdr:oneCellAnchor>
    <xdr:from>
      <xdr:col>10</xdr:col>
      <xdr:colOff>57150</xdr:colOff>
      <xdr:row>14</xdr:row>
      <xdr:rowOff>0</xdr:rowOff>
    </xdr:from>
    <xdr:ext cx="329064" cy="264560"/>
    <xdr:sp macro="" textlink="">
      <xdr:nvSpPr>
        <xdr:cNvPr id="30" name="pole tekstowe 29">
          <a:extLst>
            <a:ext uri="{FF2B5EF4-FFF2-40B4-BE49-F238E27FC236}">
              <a16:creationId xmlns:a16="http://schemas.microsoft.com/office/drawing/2014/main" id="{DCEC5B84-1BAC-47DB-B2F5-F71E97B8C81F}"/>
            </a:ext>
          </a:extLst>
        </xdr:cNvPr>
        <xdr:cNvSpPr txBox="1"/>
      </xdr:nvSpPr>
      <xdr:spPr>
        <a:xfrm>
          <a:off x="7143750" y="2933700"/>
          <a:ext cx="3290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1100">
              <a:solidFill>
                <a:srgbClr val="FF0000"/>
              </a:solidFill>
            </a:rPr>
            <a:t>P2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6CF2-DBB9-4E76-ACB8-C82E592E014B}">
  <dimension ref="A1:T83"/>
  <sheetViews>
    <sheetView tabSelected="1" topLeftCell="A19" workbookViewId="0">
      <selection activeCell="Y37" sqref="Y37"/>
    </sheetView>
  </sheetViews>
  <sheetFormatPr defaultRowHeight="16.5" x14ac:dyDescent="0.3"/>
  <cols>
    <col min="1" max="1" width="32.28515625" style="1" customWidth="1"/>
    <col min="2" max="2" width="5.28515625" style="1" customWidth="1"/>
    <col min="3" max="3" width="4.7109375" style="1" customWidth="1"/>
    <col min="4" max="16384" width="9.140625" style="1"/>
  </cols>
  <sheetData>
    <row r="1" spans="1:20" x14ac:dyDescent="0.3">
      <c r="C1" s="1" t="s">
        <v>1</v>
      </c>
    </row>
    <row r="2" spans="1:20" x14ac:dyDescent="0.3">
      <c r="A2" s="3" t="s">
        <v>0</v>
      </c>
      <c r="E2" s="1" t="s">
        <v>2</v>
      </c>
    </row>
    <row r="3" spans="1:20" x14ac:dyDescent="0.3">
      <c r="A3" s="2" t="str">
        <f>DEC2HEX(87501181+B3)</f>
        <v>537297E</v>
      </c>
      <c r="B3" s="4">
        <v>1</v>
      </c>
      <c r="C3" s="5" t="str">
        <f>"00"</f>
        <v>00</v>
      </c>
      <c r="D3" s="1" t="s">
        <v>50</v>
      </c>
      <c r="H3" s="1" t="s">
        <v>116</v>
      </c>
    </row>
    <row r="4" spans="1:20" x14ac:dyDescent="0.3">
      <c r="A4" s="2" t="str">
        <f t="shared" ref="A4:A67" si="0">DEC2HEX(87501181+B4)</f>
        <v>537297F</v>
      </c>
      <c r="B4" s="4">
        <v>2</v>
      </c>
      <c r="C4" s="5" t="s">
        <v>7</v>
      </c>
      <c r="D4" s="1" t="s">
        <v>3</v>
      </c>
      <c r="H4" s="1" t="s">
        <v>115</v>
      </c>
    </row>
    <row r="5" spans="1:20" x14ac:dyDescent="0.3">
      <c r="A5" s="2" t="str">
        <f t="shared" si="0"/>
        <v>5372980</v>
      </c>
      <c r="B5" s="4">
        <v>3</v>
      </c>
      <c r="C5" s="5" t="s">
        <v>6</v>
      </c>
      <c r="D5" s="1" t="s">
        <v>3</v>
      </c>
    </row>
    <row r="6" spans="1:20" x14ac:dyDescent="0.3">
      <c r="A6" s="2" t="str">
        <f t="shared" si="0"/>
        <v>5372981</v>
      </c>
      <c r="B6" s="4">
        <v>4</v>
      </c>
      <c r="C6" s="5" t="str">
        <f>"00"</f>
        <v>00</v>
      </c>
      <c r="D6" s="1" t="s">
        <v>49</v>
      </c>
      <c r="H6" s="1" t="s">
        <v>117</v>
      </c>
    </row>
    <row r="7" spans="1:20" x14ac:dyDescent="0.3">
      <c r="A7" s="2" t="str">
        <f t="shared" si="0"/>
        <v>5372982</v>
      </c>
      <c r="B7" s="4">
        <v>5</v>
      </c>
      <c r="C7" s="5" t="str">
        <f>"00"</f>
        <v>00</v>
      </c>
      <c r="D7" s="1" t="s">
        <v>47</v>
      </c>
      <c r="F7" s="1" t="s">
        <v>118</v>
      </c>
    </row>
    <row r="8" spans="1:20" x14ac:dyDescent="0.3">
      <c r="A8" s="2" t="str">
        <f t="shared" si="0"/>
        <v>5372983</v>
      </c>
      <c r="B8" s="4">
        <v>6</v>
      </c>
      <c r="C8" s="5" t="str">
        <f>"25"</f>
        <v>25</v>
      </c>
      <c r="D8" s="1" t="s">
        <v>47</v>
      </c>
    </row>
    <row r="9" spans="1:20" x14ac:dyDescent="0.3">
      <c r="A9" s="2" t="str">
        <f t="shared" si="0"/>
        <v>5372984</v>
      </c>
      <c r="B9" s="4">
        <v>7</v>
      </c>
      <c r="C9" s="5" t="s">
        <v>5</v>
      </c>
      <c r="D9" s="1" t="s">
        <v>46</v>
      </c>
      <c r="F9" s="1" t="s">
        <v>119</v>
      </c>
    </row>
    <row r="10" spans="1:20" x14ac:dyDescent="0.3">
      <c r="A10" s="2" t="str">
        <f t="shared" si="0"/>
        <v>5372985</v>
      </c>
      <c r="B10" s="4">
        <v>8</v>
      </c>
      <c r="C10" s="5" t="s">
        <v>34</v>
      </c>
      <c r="D10" s="1" t="s">
        <v>48</v>
      </c>
      <c r="F10" s="1" t="s">
        <v>120</v>
      </c>
    </row>
    <row r="11" spans="1:20" x14ac:dyDescent="0.3">
      <c r="A11" s="2" t="str">
        <f t="shared" si="0"/>
        <v>5372986</v>
      </c>
      <c r="B11" s="4">
        <v>9</v>
      </c>
      <c r="C11" s="5">
        <v>40</v>
      </c>
      <c r="D11" s="1" t="s">
        <v>48</v>
      </c>
      <c r="T11"/>
    </row>
    <row r="12" spans="1:20" x14ac:dyDescent="0.3">
      <c r="A12" s="2" t="str">
        <f t="shared" si="0"/>
        <v>5372987</v>
      </c>
      <c r="B12" s="4">
        <v>10</v>
      </c>
      <c r="C12" s="5" t="s">
        <v>4</v>
      </c>
      <c r="D12" s="1" t="s">
        <v>45</v>
      </c>
      <c r="F12" s="1" t="s">
        <v>118</v>
      </c>
    </row>
    <row r="13" spans="1:20" x14ac:dyDescent="0.3">
      <c r="A13" s="2" t="str">
        <f t="shared" si="0"/>
        <v>5372988</v>
      </c>
      <c r="B13" s="4">
        <v>11</v>
      </c>
      <c r="C13" s="5" t="s">
        <v>8</v>
      </c>
      <c r="D13" s="1" t="s">
        <v>51</v>
      </c>
      <c r="F13" s="1" t="s">
        <v>118</v>
      </c>
    </row>
    <row r="14" spans="1:20" x14ac:dyDescent="0.3">
      <c r="A14" s="2" t="str">
        <f t="shared" si="0"/>
        <v>5372989</v>
      </c>
      <c r="B14" s="4">
        <v>12</v>
      </c>
      <c r="C14" s="5" t="s">
        <v>9</v>
      </c>
      <c r="D14" s="1" t="s">
        <v>51</v>
      </c>
      <c r="F14"/>
    </row>
    <row r="15" spans="1:20" x14ac:dyDescent="0.3">
      <c r="A15" s="2" t="str">
        <f t="shared" si="0"/>
        <v>537298A</v>
      </c>
      <c r="B15" s="4">
        <v>13</v>
      </c>
      <c r="C15" s="5" t="str">
        <f>"00"</f>
        <v>00</v>
      </c>
      <c r="D15" s="1" t="s">
        <v>52</v>
      </c>
      <c r="F15" s="1" t="s">
        <v>120</v>
      </c>
    </row>
    <row r="16" spans="1:20" x14ac:dyDescent="0.3">
      <c r="A16" s="2" t="str">
        <f t="shared" si="0"/>
        <v>537298B</v>
      </c>
      <c r="B16" s="4">
        <v>14</v>
      </c>
      <c r="C16" s="5" t="s">
        <v>10</v>
      </c>
      <c r="D16" s="1" t="s">
        <v>56</v>
      </c>
      <c r="F16" s="1" t="s">
        <v>55</v>
      </c>
    </row>
    <row r="17" spans="1:17" x14ac:dyDescent="0.3">
      <c r="A17" s="2" t="str">
        <f t="shared" si="0"/>
        <v>537298C</v>
      </c>
      <c r="B17" s="4">
        <v>15</v>
      </c>
      <c r="C17" s="5" t="s">
        <v>11</v>
      </c>
      <c r="D17" s="1" t="s">
        <v>56</v>
      </c>
    </row>
    <row r="18" spans="1:17" x14ac:dyDescent="0.3">
      <c r="A18" s="2" t="str">
        <f>DEC2HEX(87501181+B18)</f>
        <v>537298D</v>
      </c>
      <c r="B18" s="4">
        <v>16</v>
      </c>
      <c r="C18" s="5" t="s">
        <v>5</v>
      </c>
      <c r="D18" s="1" t="s">
        <v>59</v>
      </c>
      <c r="F18" s="1" t="s">
        <v>58</v>
      </c>
    </row>
    <row r="19" spans="1:17" x14ac:dyDescent="0.3">
      <c r="A19" s="2" t="str">
        <f>DEC2HEX(87501181+B19)</f>
        <v>537298E</v>
      </c>
      <c r="B19" s="4">
        <v>17</v>
      </c>
      <c r="C19" s="5" t="s">
        <v>12</v>
      </c>
      <c r="D19" s="1" t="s">
        <v>57</v>
      </c>
      <c r="F19" s="1" t="s">
        <v>121</v>
      </c>
    </row>
    <row r="20" spans="1:17" x14ac:dyDescent="0.3">
      <c r="A20" s="2" t="str">
        <f t="shared" si="0"/>
        <v>537298F</v>
      </c>
      <c r="B20" s="4">
        <v>18</v>
      </c>
      <c r="C20" s="5">
        <v>78</v>
      </c>
      <c r="D20" s="1" t="s">
        <v>57</v>
      </c>
    </row>
    <row r="21" spans="1:17" x14ac:dyDescent="0.3">
      <c r="A21" s="2" t="str">
        <f>DEC2HEX(87501181+B21)</f>
        <v>5372990</v>
      </c>
      <c r="B21" s="4">
        <v>19</v>
      </c>
      <c r="C21" s="5" t="s">
        <v>13</v>
      </c>
      <c r="D21" s="1" t="s">
        <v>123</v>
      </c>
      <c r="F21" s="1" t="s">
        <v>122</v>
      </c>
    </row>
    <row r="22" spans="1:17" x14ac:dyDescent="0.3">
      <c r="A22" s="2" t="str">
        <f t="shared" si="0"/>
        <v>5372991</v>
      </c>
      <c r="B22" s="4">
        <v>20</v>
      </c>
      <c r="C22" s="5">
        <v>80</v>
      </c>
      <c r="D22" s="1" t="s">
        <v>62</v>
      </c>
      <c r="F22" s="1" t="s">
        <v>124</v>
      </c>
    </row>
    <row r="23" spans="1:17" x14ac:dyDescent="0.3">
      <c r="A23" s="2" t="str">
        <f t="shared" si="0"/>
        <v>5372992</v>
      </c>
      <c r="B23" s="4">
        <v>21</v>
      </c>
      <c r="C23" s="5" t="s">
        <v>14</v>
      </c>
      <c r="D23" s="1" t="s">
        <v>62</v>
      </c>
    </row>
    <row r="24" spans="1:17" x14ac:dyDescent="0.3">
      <c r="A24" s="2" t="str">
        <f t="shared" si="0"/>
        <v>5372993</v>
      </c>
      <c r="B24" s="4">
        <v>22</v>
      </c>
      <c r="C24" s="5" t="str">
        <f>"00"</f>
        <v>00</v>
      </c>
      <c r="D24" s="1" t="s">
        <v>61</v>
      </c>
      <c r="F24" s="1" t="s">
        <v>121</v>
      </c>
    </row>
    <row r="25" spans="1:17" x14ac:dyDescent="0.3">
      <c r="A25" s="2" t="str">
        <f t="shared" si="0"/>
        <v>5372994</v>
      </c>
      <c r="B25" s="4">
        <v>23</v>
      </c>
      <c r="C25" s="5">
        <v>20</v>
      </c>
      <c r="D25" s="1" t="s">
        <v>63</v>
      </c>
      <c r="F25" s="1" t="s">
        <v>122</v>
      </c>
    </row>
    <row r="26" spans="1:17" x14ac:dyDescent="0.3">
      <c r="A26" s="2" t="str">
        <f t="shared" si="0"/>
        <v>5372995</v>
      </c>
      <c r="B26" s="4">
        <v>24</v>
      </c>
      <c r="C26" s="5">
        <v>64</v>
      </c>
      <c r="D26" s="1" t="s">
        <v>63</v>
      </c>
    </row>
    <row r="27" spans="1:17" x14ac:dyDescent="0.3">
      <c r="A27" s="2" t="str">
        <f t="shared" si="0"/>
        <v>5372996</v>
      </c>
      <c r="B27" s="4">
        <v>25</v>
      </c>
      <c r="C27" s="5" t="s">
        <v>15</v>
      </c>
      <c r="D27" s="1" t="s">
        <v>66</v>
      </c>
      <c r="F27" s="1" t="s">
        <v>124</v>
      </c>
      <c r="Q27"/>
    </row>
    <row r="28" spans="1:17" x14ac:dyDescent="0.3">
      <c r="A28" s="2" t="str">
        <f t="shared" si="0"/>
        <v>5372997</v>
      </c>
      <c r="B28" s="4">
        <v>26</v>
      </c>
      <c r="C28" s="5" t="s">
        <v>16</v>
      </c>
      <c r="D28" s="1" t="s">
        <v>65</v>
      </c>
      <c r="F28" s="1" t="s">
        <v>121</v>
      </c>
    </row>
    <row r="29" spans="1:17" x14ac:dyDescent="0.3">
      <c r="A29" s="2" t="str">
        <f t="shared" si="0"/>
        <v>5372998</v>
      </c>
      <c r="B29" s="4">
        <v>27</v>
      </c>
      <c r="C29" s="5" t="s">
        <v>17</v>
      </c>
      <c r="D29" s="1" t="s">
        <v>65</v>
      </c>
      <c r="I29" s="1" t="s">
        <v>44</v>
      </c>
    </row>
    <row r="30" spans="1:17" x14ac:dyDescent="0.3">
      <c r="A30" s="2" t="str">
        <f t="shared" si="0"/>
        <v>5372999</v>
      </c>
      <c r="B30" s="4">
        <v>28</v>
      </c>
      <c r="C30" s="5" t="s">
        <v>18</v>
      </c>
      <c r="D30" s="1" t="s">
        <v>67</v>
      </c>
      <c r="F30" s="1" t="s">
        <v>125</v>
      </c>
      <c r="I30" s="1" t="s">
        <v>43</v>
      </c>
    </row>
    <row r="31" spans="1:17" x14ac:dyDescent="0.3">
      <c r="A31" s="2" t="str">
        <f t="shared" si="0"/>
        <v>537299A</v>
      </c>
      <c r="B31" s="4">
        <v>29</v>
      </c>
      <c r="C31" s="5" t="s">
        <v>19</v>
      </c>
      <c r="D31" s="1" t="s">
        <v>69</v>
      </c>
      <c r="F31" s="1" t="s">
        <v>126</v>
      </c>
      <c r="I31" s="1" t="s">
        <v>54</v>
      </c>
    </row>
    <row r="32" spans="1:17" x14ac:dyDescent="0.3">
      <c r="A32" s="2" t="str">
        <f>DEC2HEX(87501181+B32)</f>
        <v>537299B</v>
      </c>
      <c r="B32" s="4">
        <v>30</v>
      </c>
      <c r="C32" s="5" t="s">
        <v>20</v>
      </c>
      <c r="D32" s="1" t="s">
        <v>69</v>
      </c>
      <c r="I32" s="1" t="s">
        <v>60</v>
      </c>
    </row>
    <row r="33" spans="1:9" x14ac:dyDescent="0.3">
      <c r="A33" s="2" t="str">
        <f t="shared" si="0"/>
        <v>537299C</v>
      </c>
      <c r="B33" s="4">
        <v>31</v>
      </c>
      <c r="C33" s="5" t="s">
        <v>21</v>
      </c>
      <c r="D33" s="1" t="s">
        <v>68</v>
      </c>
      <c r="F33" s="1" t="s">
        <v>121</v>
      </c>
      <c r="I33" s="1" t="s">
        <v>64</v>
      </c>
    </row>
    <row r="34" spans="1:9" x14ac:dyDescent="0.3">
      <c r="A34" s="2" t="str">
        <f t="shared" si="0"/>
        <v>537299D</v>
      </c>
      <c r="B34" s="4">
        <v>32</v>
      </c>
      <c r="C34" s="5">
        <v>90</v>
      </c>
      <c r="D34" s="1" t="s">
        <v>71</v>
      </c>
      <c r="F34" s="1" t="s">
        <v>125</v>
      </c>
      <c r="I34" s="1" t="s">
        <v>78</v>
      </c>
    </row>
    <row r="35" spans="1:9" x14ac:dyDescent="0.3">
      <c r="A35" s="2" t="str">
        <f t="shared" si="0"/>
        <v>537299E</v>
      </c>
      <c r="B35" s="4">
        <v>33</v>
      </c>
      <c r="C35" s="5">
        <v>60</v>
      </c>
      <c r="D35" s="1" t="s">
        <v>71</v>
      </c>
      <c r="I35" s="1" t="s">
        <v>77</v>
      </c>
    </row>
    <row r="36" spans="1:9" x14ac:dyDescent="0.3">
      <c r="A36" s="2" t="str">
        <f>DEC2HEX(87501181+B36)</f>
        <v>537299F</v>
      </c>
      <c r="B36" s="4">
        <v>34</v>
      </c>
      <c r="C36" s="5" t="s">
        <v>22</v>
      </c>
      <c r="D36" s="1" t="s">
        <v>72</v>
      </c>
      <c r="F36" s="1" t="s">
        <v>126</v>
      </c>
      <c r="I36" s="1" t="s">
        <v>76</v>
      </c>
    </row>
    <row r="37" spans="1:9" x14ac:dyDescent="0.3">
      <c r="A37" s="2" t="str">
        <f t="shared" si="0"/>
        <v>53729A0</v>
      </c>
      <c r="B37" s="4">
        <v>35</v>
      </c>
      <c r="C37" s="5">
        <v>30</v>
      </c>
      <c r="D37" s="1" t="s">
        <v>70</v>
      </c>
      <c r="F37" s="1" t="s">
        <v>121</v>
      </c>
      <c r="I37" s="1" t="s">
        <v>79</v>
      </c>
    </row>
    <row r="38" spans="1:9" x14ac:dyDescent="0.3">
      <c r="A38" s="2" t="str">
        <f t="shared" si="0"/>
        <v>53729A1</v>
      </c>
      <c r="B38" s="4">
        <v>36</v>
      </c>
      <c r="C38" s="5" t="s">
        <v>23</v>
      </c>
      <c r="D38" s="1" t="s">
        <v>70</v>
      </c>
      <c r="I38" s="1" t="s">
        <v>110</v>
      </c>
    </row>
    <row r="39" spans="1:9" x14ac:dyDescent="0.3">
      <c r="A39" s="2" t="str">
        <f t="shared" si="0"/>
        <v>53729A2</v>
      </c>
      <c r="B39" s="4">
        <v>37</v>
      </c>
      <c r="C39" s="5" t="s">
        <v>32</v>
      </c>
      <c r="D39" s="1" t="s">
        <v>73</v>
      </c>
      <c r="F39" s="1" t="s">
        <v>125</v>
      </c>
      <c r="I39" s="1" t="s">
        <v>111</v>
      </c>
    </row>
    <row r="40" spans="1:9" x14ac:dyDescent="0.3">
      <c r="A40" s="2" t="str">
        <f t="shared" si="0"/>
        <v>53729A3</v>
      </c>
      <c r="B40" s="4">
        <v>38</v>
      </c>
      <c r="C40" s="5" t="s">
        <v>33</v>
      </c>
      <c r="D40" s="1" t="s">
        <v>74</v>
      </c>
      <c r="F40" s="1" t="s">
        <v>126</v>
      </c>
    </row>
    <row r="41" spans="1:9" x14ac:dyDescent="0.3">
      <c r="A41" s="2" t="str">
        <f t="shared" si="0"/>
        <v>53729A4</v>
      </c>
      <c r="B41" s="4">
        <v>39</v>
      </c>
      <c r="C41" s="5" t="s">
        <v>31</v>
      </c>
      <c r="D41" s="1" t="s">
        <v>74</v>
      </c>
    </row>
    <row r="42" spans="1:9" x14ac:dyDescent="0.3">
      <c r="A42" s="2" t="str">
        <f t="shared" si="0"/>
        <v>53729A5</v>
      </c>
      <c r="B42" s="4">
        <v>40</v>
      </c>
      <c r="C42" s="5" t="s">
        <v>13</v>
      </c>
      <c r="D42" s="1" t="s">
        <v>75</v>
      </c>
      <c r="F42" s="1" t="s">
        <v>121</v>
      </c>
    </row>
    <row r="43" spans="1:9" x14ac:dyDescent="0.3">
      <c r="A43" s="2" t="str">
        <f t="shared" si="0"/>
        <v>53729A6</v>
      </c>
      <c r="B43" s="4">
        <v>41</v>
      </c>
      <c r="C43" s="5" t="s">
        <v>29</v>
      </c>
      <c r="D43" s="1" t="s">
        <v>80</v>
      </c>
      <c r="F43" s="1" t="s">
        <v>84</v>
      </c>
    </row>
    <row r="44" spans="1:9" x14ac:dyDescent="0.3">
      <c r="A44" s="2" t="str">
        <f t="shared" si="0"/>
        <v>53729A7</v>
      </c>
      <c r="B44" s="4">
        <v>42</v>
      </c>
      <c r="C44" s="5" t="s">
        <v>30</v>
      </c>
      <c r="D44" s="1" t="s">
        <v>80</v>
      </c>
    </row>
    <row r="45" spans="1:9" x14ac:dyDescent="0.3">
      <c r="A45" s="2" t="str">
        <f>DEC2HEX(87501181+B45)</f>
        <v>53729A8</v>
      </c>
      <c r="B45" s="4">
        <v>43</v>
      </c>
      <c r="C45" s="5" t="str">
        <f>"09"</f>
        <v>09</v>
      </c>
      <c r="D45" s="1" t="s">
        <v>81</v>
      </c>
      <c r="F45" s="1" t="s">
        <v>127</v>
      </c>
    </row>
    <row r="46" spans="1:9" x14ac:dyDescent="0.3">
      <c r="A46" s="2" t="str">
        <f t="shared" si="0"/>
        <v>53729A9</v>
      </c>
      <c r="B46" s="4">
        <v>44</v>
      </c>
      <c r="C46" s="5">
        <v>20</v>
      </c>
      <c r="D46" s="1" t="s">
        <v>53</v>
      </c>
      <c r="F46" s="1" t="s">
        <v>82</v>
      </c>
    </row>
    <row r="47" spans="1:9" x14ac:dyDescent="0.3">
      <c r="A47" s="2" t="str">
        <f t="shared" si="0"/>
        <v>53729AA</v>
      </c>
      <c r="B47" s="4">
        <v>45</v>
      </c>
      <c r="C47" s="5" t="s">
        <v>28</v>
      </c>
      <c r="D47" s="1" t="s">
        <v>53</v>
      </c>
    </row>
    <row r="48" spans="1:9" x14ac:dyDescent="0.3">
      <c r="A48" s="2" t="str">
        <f t="shared" si="0"/>
        <v>53729AB</v>
      </c>
      <c r="B48" s="4">
        <v>46</v>
      </c>
      <c r="C48" s="5" t="str">
        <f>"07"</f>
        <v>07</v>
      </c>
      <c r="D48" s="1" t="s">
        <v>85</v>
      </c>
      <c r="F48" s="1" t="s">
        <v>84</v>
      </c>
    </row>
    <row r="49" spans="1:6" x14ac:dyDescent="0.3">
      <c r="A49" s="2" t="str">
        <f t="shared" si="0"/>
        <v>53729AC</v>
      </c>
      <c r="B49" s="4">
        <v>47</v>
      </c>
      <c r="C49" s="5" t="s">
        <v>24</v>
      </c>
      <c r="D49" s="1" t="s">
        <v>86</v>
      </c>
    </row>
    <row r="50" spans="1:6" x14ac:dyDescent="0.3">
      <c r="A50" s="2" t="str">
        <f t="shared" si="0"/>
        <v>53729AD</v>
      </c>
      <c r="B50" s="4">
        <v>48</v>
      </c>
      <c r="C50" s="5">
        <v>44</v>
      </c>
      <c r="D50" s="1" t="s">
        <v>86</v>
      </c>
      <c r="F50" s="1" t="s">
        <v>87</v>
      </c>
    </row>
    <row r="51" spans="1:6" x14ac:dyDescent="0.3">
      <c r="A51" s="2" t="str">
        <f t="shared" si="0"/>
        <v>53729AE</v>
      </c>
      <c r="B51" s="4">
        <v>49</v>
      </c>
      <c r="C51" s="5" t="s">
        <v>26</v>
      </c>
      <c r="D51" s="1" t="s">
        <v>88</v>
      </c>
      <c r="F51" s="1" t="s">
        <v>89</v>
      </c>
    </row>
    <row r="52" spans="1:6" x14ac:dyDescent="0.3">
      <c r="A52" s="2" t="str">
        <f t="shared" si="0"/>
        <v>53729AF</v>
      </c>
      <c r="B52" s="4">
        <v>50</v>
      </c>
      <c r="C52" s="5" t="s">
        <v>27</v>
      </c>
      <c r="D52" s="1" t="s">
        <v>90</v>
      </c>
      <c r="F52" s="1" t="s">
        <v>84</v>
      </c>
    </row>
    <row r="53" spans="1:6" x14ac:dyDescent="0.3">
      <c r="A53" s="2" t="str">
        <f t="shared" si="0"/>
        <v>53729B0</v>
      </c>
      <c r="B53" s="4">
        <v>51</v>
      </c>
      <c r="C53" s="5">
        <v>12</v>
      </c>
      <c r="D53" s="1" t="s">
        <v>90</v>
      </c>
    </row>
    <row r="54" spans="1:6" x14ac:dyDescent="0.3">
      <c r="A54" s="2" t="str">
        <f t="shared" si="0"/>
        <v>53729B1</v>
      </c>
      <c r="B54" s="4">
        <v>52</v>
      </c>
      <c r="C54" s="5" t="str">
        <f>"00"</f>
        <v>00</v>
      </c>
      <c r="D54" s="1" t="s">
        <v>91</v>
      </c>
      <c r="F54" s="1" t="s">
        <v>83</v>
      </c>
    </row>
    <row r="55" spans="1:6" x14ac:dyDescent="0.3">
      <c r="A55" s="2" t="str">
        <f t="shared" si="0"/>
        <v>53729B2</v>
      </c>
      <c r="B55" s="4">
        <v>53</v>
      </c>
      <c r="C55" s="5" t="s">
        <v>24</v>
      </c>
      <c r="D55" s="1" t="s">
        <v>92</v>
      </c>
      <c r="F55" s="1" t="s">
        <v>89</v>
      </c>
    </row>
    <row r="56" spans="1:6" x14ac:dyDescent="0.3">
      <c r="A56" s="2" t="str">
        <f t="shared" si="0"/>
        <v>53729B3</v>
      </c>
      <c r="B56" s="4">
        <v>54</v>
      </c>
      <c r="C56" s="5" t="s">
        <v>25</v>
      </c>
      <c r="D56" s="1" t="s">
        <v>92</v>
      </c>
    </row>
    <row r="57" spans="1:6" x14ac:dyDescent="0.3">
      <c r="A57" s="2" t="str">
        <f>DEC2HEX(87501181+B57)</f>
        <v>53729B4</v>
      </c>
      <c r="B57" s="4">
        <v>55</v>
      </c>
      <c r="C57" s="5" t="str">
        <f>"00"</f>
        <v>00</v>
      </c>
      <c r="D57" s="1" t="s">
        <v>93</v>
      </c>
      <c r="F57" s="1" t="s">
        <v>128</v>
      </c>
    </row>
    <row r="58" spans="1:6" x14ac:dyDescent="0.3">
      <c r="A58" s="2" t="str">
        <f t="shared" si="0"/>
        <v>53729B5</v>
      </c>
      <c r="B58" s="4">
        <v>56</v>
      </c>
      <c r="C58" s="5" t="str">
        <f>"00"</f>
        <v>00</v>
      </c>
      <c r="D58" s="1" t="s">
        <v>94</v>
      </c>
      <c r="F58" s="1" t="s">
        <v>129</v>
      </c>
    </row>
    <row r="59" spans="1:6" x14ac:dyDescent="0.3">
      <c r="A59" s="2" t="str">
        <f t="shared" si="0"/>
        <v>53729B6</v>
      </c>
      <c r="B59" s="4">
        <v>57</v>
      </c>
      <c r="C59" s="5" t="str">
        <f>"00"</f>
        <v>00</v>
      </c>
      <c r="D59" s="1" t="s">
        <v>94</v>
      </c>
    </row>
    <row r="60" spans="1:6" x14ac:dyDescent="0.3">
      <c r="A60" s="2" t="str">
        <f t="shared" si="0"/>
        <v>53729B7</v>
      </c>
      <c r="B60" s="4">
        <v>58</v>
      </c>
      <c r="C60" s="5" t="str">
        <f>"00"</f>
        <v>00</v>
      </c>
      <c r="D60" s="1" t="s">
        <v>95</v>
      </c>
      <c r="F60" s="1" t="s">
        <v>82</v>
      </c>
    </row>
    <row r="61" spans="1:6" x14ac:dyDescent="0.3">
      <c r="A61" s="2" t="str">
        <f t="shared" si="0"/>
        <v>53729B8</v>
      </c>
      <c r="B61" s="4">
        <v>59</v>
      </c>
      <c r="C61" s="5" t="s">
        <v>42</v>
      </c>
      <c r="D61" s="1" t="s">
        <v>96</v>
      </c>
      <c r="F61" s="1" t="s">
        <v>84</v>
      </c>
    </row>
    <row r="62" spans="1:6" x14ac:dyDescent="0.3">
      <c r="A62" s="2" t="str">
        <f t="shared" si="0"/>
        <v>53729B9</v>
      </c>
      <c r="B62" s="4">
        <v>60</v>
      </c>
      <c r="C62" s="5">
        <v>81</v>
      </c>
      <c r="D62" s="1" t="s">
        <v>96</v>
      </c>
    </row>
    <row r="63" spans="1:6" x14ac:dyDescent="0.3">
      <c r="A63" s="2" t="str">
        <f t="shared" si="0"/>
        <v>53729BA</v>
      </c>
      <c r="B63" s="4">
        <v>61</v>
      </c>
      <c r="C63" s="5" t="str">
        <f>"02"</f>
        <v>02</v>
      </c>
      <c r="D63" s="1" t="s">
        <v>97</v>
      </c>
      <c r="F63" s="1" t="s">
        <v>130</v>
      </c>
    </row>
    <row r="64" spans="1:6" x14ac:dyDescent="0.3">
      <c r="A64" s="2" t="str">
        <f t="shared" si="0"/>
        <v>53729BB</v>
      </c>
      <c r="B64" s="4">
        <v>62</v>
      </c>
      <c r="C64" s="5" t="s">
        <v>41</v>
      </c>
      <c r="D64" s="1" t="s">
        <v>98</v>
      </c>
      <c r="F64" s="1" t="s">
        <v>82</v>
      </c>
    </row>
    <row r="65" spans="1:6" x14ac:dyDescent="0.3">
      <c r="A65" s="2" t="str">
        <f t="shared" si="0"/>
        <v>53729BC</v>
      </c>
      <c r="B65" s="4">
        <v>63</v>
      </c>
      <c r="C65" s="5" t="str">
        <f>"04"</f>
        <v>04</v>
      </c>
      <c r="D65" s="1" t="s">
        <v>98</v>
      </c>
    </row>
    <row r="66" spans="1:6" x14ac:dyDescent="0.3">
      <c r="A66" s="2" t="str">
        <f t="shared" si="0"/>
        <v>53729BD</v>
      </c>
      <c r="B66" s="4">
        <v>64</v>
      </c>
      <c r="C66" s="5" t="str">
        <f>"02"</f>
        <v>02</v>
      </c>
      <c r="D66" s="1" t="s">
        <v>99</v>
      </c>
      <c r="F66" s="1" t="s">
        <v>84</v>
      </c>
    </row>
    <row r="67" spans="1:6" x14ac:dyDescent="0.3">
      <c r="A67" s="2" t="str">
        <f t="shared" si="0"/>
        <v>53729BE</v>
      </c>
      <c r="B67" s="4">
        <v>65</v>
      </c>
      <c r="C67" s="5">
        <v>80</v>
      </c>
      <c r="D67" s="1" t="s">
        <v>101</v>
      </c>
      <c r="F67" s="1" t="s">
        <v>129</v>
      </c>
    </row>
    <row r="68" spans="1:6" x14ac:dyDescent="0.3">
      <c r="A68" s="2" t="str">
        <f t="shared" ref="A68:A83" si="1">DEC2HEX(87501181+B68)</f>
        <v>53729BF</v>
      </c>
      <c r="B68" s="4">
        <v>66</v>
      </c>
      <c r="C68" s="5" t="s">
        <v>40</v>
      </c>
      <c r="D68" s="1" t="s">
        <v>101</v>
      </c>
    </row>
    <row r="69" spans="1:6" x14ac:dyDescent="0.3">
      <c r="A69" s="2" t="str">
        <f t="shared" si="1"/>
        <v>53729C0</v>
      </c>
      <c r="B69" s="4">
        <v>67</v>
      </c>
      <c r="C69" s="5" t="str">
        <f>"09"</f>
        <v>09</v>
      </c>
      <c r="D69" s="1" t="s">
        <v>102</v>
      </c>
      <c r="F69" s="1" t="s">
        <v>82</v>
      </c>
    </row>
    <row r="70" spans="1:6" x14ac:dyDescent="0.3">
      <c r="A70" s="2" t="str">
        <f t="shared" si="1"/>
        <v>53729C1</v>
      </c>
      <c r="B70" s="4">
        <v>68</v>
      </c>
      <c r="C70" s="5" t="s">
        <v>39</v>
      </c>
      <c r="D70" s="1" t="s">
        <v>103</v>
      </c>
      <c r="F70" s="1" t="s">
        <v>84</v>
      </c>
    </row>
    <row r="71" spans="1:6" x14ac:dyDescent="0.3">
      <c r="A71" s="2" t="str">
        <f t="shared" si="1"/>
        <v>53729C2</v>
      </c>
      <c r="B71" s="4">
        <v>69</v>
      </c>
      <c r="C71" s="5" t="s">
        <v>38</v>
      </c>
      <c r="D71" s="1" t="s">
        <v>103</v>
      </c>
    </row>
    <row r="72" spans="1:6" x14ac:dyDescent="0.3">
      <c r="A72" s="2" t="str">
        <f t="shared" si="1"/>
        <v>53729C3</v>
      </c>
      <c r="B72" s="4">
        <v>70</v>
      </c>
      <c r="C72" s="5" t="str">
        <f>"03"</f>
        <v>03</v>
      </c>
      <c r="D72" s="1" t="s">
        <v>104</v>
      </c>
      <c r="F72" s="1" t="s">
        <v>100</v>
      </c>
    </row>
    <row r="73" spans="1:6" x14ac:dyDescent="0.3">
      <c r="A73" s="2" t="str">
        <f t="shared" si="1"/>
        <v>53729C4</v>
      </c>
      <c r="B73" s="4">
        <v>71</v>
      </c>
      <c r="C73" s="5" t="s">
        <v>36</v>
      </c>
      <c r="D73" s="1" t="s">
        <v>105</v>
      </c>
      <c r="F73" s="1" t="s">
        <v>82</v>
      </c>
    </row>
    <row r="74" spans="1:6" x14ac:dyDescent="0.3">
      <c r="A74" s="2" t="str">
        <f>DEC2HEX(87501181+B74)</f>
        <v>53729C5</v>
      </c>
      <c r="B74" s="4">
        <v>72</v>
      </c>
      <c r="C74" s="5" t="s">
        <v>37</v>
      </c>
      <c r="D74" s="1" t="s">
        <v>105</v>
      </c>
    </row>
    <row r="75" spans="1:6" x14ac:dyDescent="0.3">
      <c r="A75" s="2" t="str">
        <f t="shared" si="1"/>
        <v>53729C6</v>
      </c>
      <c r="B75" s="4">
        <v>73</v>
      </c>
      <c r="C75" s="5" t="s">
        <v>19</v>
      </c>
      <c r="D75" s="1" t="s">
        <v>107</v>
      </c>
      <c r="F75" s="1" t="s">
        <v>84</v>
      </c>
    </row>
    <row r="76" spans="1:6" x14ac:dyDescent="0.3">
      <c r="A76" s="2" t="str">
        <f t="shared" si="1"/>
        <v>53729C7</v>
      </c>
      <c r="B76" s="4">
        <v>74</v>
      </c>
      <c r="C76" s="5" t="s">
        <v>27</v>
      </c>
      <c r="D76" s="1" t="s">
        <v>108</v>
      </c>
    </row>
    <row r="77" spans="1:6" x14ac:dyDescent="0.3">
      <c r="A77" s="2" t="str">
        <f t="shared" si="1"/>
        <v>53729C8</v>
      </c>
      <c r="B77" s="4">
        <v>75</v>
      </c>
      <c r="C77" s="5" t="s">
        <v>35</v>
      </c>
      <c r="D77" s="1" t="s">
        <v>108</v>
      </c>
      <c r="F77" s="1" t="s">
        <v>106</v>
      </c>
    </row>
    <row r="78" spans="1:6" x14ac:dyDescent="0.3">
      <c r="A78" s="2" t="str">
        <f t="shared" si="1"/>
        <v>53729C9</v>
      </c>
      <c r="B78" s="4">
        <v>76</v>
      </c>
      <c r="C78" s="5" t="s">
        <v>13</v>
      </c>
      <c r="D78" s="1" t="s">
        <v>109</v>
      </c>
      <c r="F78" s="1" t="s">
        <v>82</v>
      </c>
    </row>
    <row r="79" spans="1:6" x14ac:dyDescent="0.3">
      <c r="A79" s="2" t="str">
        <f>DEC2HEX(87501181+B79)</f>
        <v>53729CA</v>
      </c>
      <c r="B79" s="4">
        <v>77</v>
      </c>
      <c r="C79" s="5">
        <v>90</v>
      </c>
      <c r="D79" s="1" t="s">
        <v>112</v>
      </c>
      <c r="F79" s="1" t="s">
        <v>84</v>
      </c>
    </row>
    <row r="80" spans="1:6" x14ac:dyDescent="0.3">
      <c r="A80" s="2" t="str">
        <f t="shared" si="1"/>
        <v>53729CB</v>
      </c>
      <c r="B80" s="4">
        <v>78</v>
      </c>
      <c r="C80" s="5" t="str">
        <f>"00"</f>
        <v>00</v>
      </c>
      <c r="D80" s="1" t="s">
        <v>112</v>
      </c>
    </row>
    <row r="81" spans="1:6" x14ac:dyDescent="0.3">
      <c r="A81" s="2" t="str">
        <f t="shared" si="1"/>
        <v>53729CC</v>
      </c>
      <c r="B81" s="4">
        <v>79</v>
      </c>
      <c r="C81" s="5" t="str">
        <f>"00"</f>
        <v>00</v>
      </c>
      <c r="D81" s="1" t="s">
        <v>113</v>
      </c>
      <c r="F81" s="1" t="s">
        <v>106</v>
      </c>
    </row>
    <row r="82" spans="1:6" x14ac:dyDescent="0.3">
      <c r="A82" s="2" t="str">
        <f t="shared" si="1"/>
        <v>53729CD</v>
      </c>
      <c r="B82" s="4">
        <v>80</v>
      </c>
      <c r="C82" s="5" t="str">
        <f>"01"</f>
        <v>01</v>
      </c>
      <c r="D82" s="1" t="s">
        <v>114</v>
      </c>
      <c r="F82" s="1" t="s">
        <v>82</v>
      </c>
    </row>
    <row r="83" spans="1:6" x14ac:dyDescent="0.3">
      <c r="A83" s="2" t="str">
        <f t="shared" si="1"/>
        <v>53729CE</v>
      </c>
      <c r="B83" s="4">
        <v>81</v>
      </c>
      <c r="C83" s="5">
        <v>65</v>
      </c>
      <c r="D83" s="1" t="s">
        <v>114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⠀ Patryk J. ⠀</dc:creator>
  <cp:lastModifiedBy>⠀ Patryk J. ⠀</cp:lastModifiedBy>
  <dcterms:created xsi:type="dcterms:W3CDTF">2023-09-15T16:28:53Z</dcterms:created>
  <dcterms:modified xsi:type="dcterms:W3CDTF">2023-09-16T06:09:20Z</dcterms:modified>
</cp:coreProperties>
</file>